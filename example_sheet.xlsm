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 defaultThemeVersion="124226"/>
  <bookViews>
    <workbookView xWindow="240" yWindow="30" windowWidth="20115" windowHeight="8010"/>
  </bookViews>
  <sheets>
    <sheet name="Sheet1" sheetId="1" r:id="rId1"/>
  </sheets>
  <functionGroups/>
  <calcPr calcId="125725"/>
</workbook>
</file>

<file path=xl/calcChain.xml><?xml version="1.0" encoding="utf-8"?>
<calcChain xmlns="http://schemas.openxmlformats.org/spreadsheetml/2006/main">
  <c r="G4" i="1"/>
  <c r="G3"/>
  <c r="G2"/>
  <c r="E2"/>
  <c r="H4"/>
  <c r="H3"/>
  <c r="H2"/>
  <c r="E4"/>
  <c r="E3"/>
  <c r="I2"/>
  <c r="F2"/>
  <c r="F3"/>
  <c r="F4"/>
  <c r="I3"/>
  <c r="I4"/>
</calcChain>
</file>

<file path=xl/sharedStrings.xml><?xml version="1.0" encoding="utf-8"?>
<sst xmlns="http://schemas.openxmlformats.org/spreadsheetml/2006/main" count="21" uniqueCount="11">
  <si>
    <t>A</t>
  </si>
  <si>
    <t>B</t>
  </si>
  <si>
    <t>C</t>
  </si>
  <si>
    <t>SUMSQ</t>
  </si>
  <si>
    <t>SUM</t>
  </si>
  <si>
    <t>VAR</t>
  </si>
  <si>
    <t>Mean</t>
  </si>
  <si>
    <t>Count</t>
  </si>
  <si>
    <t>Label</t>
  </si>
  <si>
    <t>Values</t>
  </si>
  <si>
    <t>Labels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</si>
</sst>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1"/>
  <sheetViews>
    <sheetView tabSelected="1" workbookViewId="0">
      <selection activeCell="G5" sqref="G5"/>
    </sheetView>
  </sheetViews>
  <sheetFormatPr defaultRowHeight="15"/>
  <sheetData>
    <row r="1" spans="1:9">
      <c r="A1" t="s">
        <v>10</v>
      </c>
      <c r="B1" t="s">
        <v>9</v>
      </c>
      <c r="D1" t="s">
        <v>8</v>
      </c>
      <c r="E1" t="s">
        <v>4</v>
      </c>
      <c r="F1" t="s">
        <v>3</v>
      </c>
      <c r="G1" t="s">
        <v>7</v>
      </c>
      <c r="H1" t="s">
        <v>6</v>
      </c>
      <c r="I1" t="s">
        <v>5</v>
      </c>
    </row>
    <row r="2" spans="1:9">
      <c r="A2" t="s">
        <v>0</v>
      </c>
      <c r="B2">
        <v>1</v>
      </c>
      <c r="D2" t="s">
        <v>0</v>
      </c>
      <c r="E2">
        <f>SUMByLabel($A$2:$A$11,D2,$B$2:$B$11)</f>
        <v>6</v>
      </c>
      <c r="F2">
        <f>SUMSQByLabel($A$2:$A$11,D2,$B$2:$B$11)</f>
        <v>14</v>
      </c>
      <c r="G2">
        <f>COUNTByLabel($A$2:$A$11,D2)</f>
        <v>3</v>
      </c>
      <c r="H2">
        <f>MEANByLabel($A$2:$A$11,D2,$B$2:$B$11)</f>
        <v>2</v>
      </c>
      <c r="I2">
        <f>VARByLabel($A$2:$A$11,D2,$B$2:$B$11)</f>
        <v>1</v>
      </c>
    </row>
    <row r="3" spans="1:9">
      <c r="A3" t="s">
        <v>0</v>
      </c>
      <c r="B3">
        <v>3</v>
      </c>
      <c r="D3" t="s">
        <v>1</v>
      </c>
      <c r="E3">
        <f>SUMIF($A$2:$A$11,"=B",$B$2:$B$11)</f>
        <v>22</v>
      </c>
      <c r="F3">
        <f>[0]!SUMSQByLabel($A$2:$A$11,D3,$B$2:$B$11)</f>
        <v>114</v>
      </c>
      <c r="G3">
        <f>COUNTByLabel($A$2:$A$11,D3)</f>
        <v>5</v>
      </c>
      <c r="H3">
        <f>MEANByLabel($A$2:$A$11,D3,$B$2:$B$11)</f>
        <v>4.4000000000000004</v>
      </c>
      <c r="I3">
        <f>[0]!VARByLabel($A$2:$A$11,D3,$B$2:$B$11)</f>
        <v>4.3</v>
      </c>
    </row>
    <row r="4" spans="1:9">
      <c r="A4" t="s">
        <v>0</v>
      </c>
      <c r="B4">
        <v>2</v>
      </c>
      <c r="D4" t="s">
        <v>2</v>
      </c>
      <c r="E4">
        <f>SUMIF($A$2:$A$11,"=C",$B$2:$B$11)</f>
        <v>12</v>
      </c>
      <c r="F4">
        <f>[0]!SUMSQByLabel($A$2:$A$11,D4,$B$2:$B$11)</f>
        <v>80</v>
      </c>
      <c r="G4">
        <f>COUNTByLabel($A$2:$A$11,D4)</f>
        <v>2</v>
      </c>
      <c r="H4">
        <f>MEANByLabel($A$2:$A$11,D4,$B$2:$B$11)</f>
        <v>6</v>
      </c>
      <c r="I4">
        <f>[0]!VARByLabel($A$2:$A$11,D4,$B$2:$B$11)</f>
        <v>8</v>
      </c>
    </row>
    <row r="5" spans="1:9">
      <c r="A5" t="s">
        <v>1</v>
      </c>
      <c r="B5">
        <v>4</v>
      </c>
    </row>
    <row r="6" spans="1:9">
      <c r="A6" t="s">
        <v>1</v>
      </c>
      <c r="B6">
        <v>2</v>
      </c>
    </row>
    <row r="7" spans="1:9">
      <c r="A7" t="s">
        <v>1</v>
      </c>
      <c r="B7">
        <v>3</v>
      </c>
    </row>
    <row r="8" spans="1:9">
      <c r="A8" t="s">
        <v>1</v>
      </c>
      <c r="B8">
        <v>6</v>
      </c>
    </row>
    <row r="9" spans="1:9">
      <c r="A9" t="s">
        <v>1</v>
      </c>
      <c r="B9">
        <v>7</v>
      </c>
    </row>
    <row r="10" spans="1:9">
      <c r="A10" t="s">
        <v>2</v>
      </c>
      <c r="B10">
        <v>8</v>
      </c>
    </row>
    <row r="11" spans="1:9">
      <c r="A11" t="s">
        <v>2</v>
      </c>
      <c r="B1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Pereira Marques</dc:creator>
  <cp:lastModifiedBy>Tiago Pereira Marques</cp:lastModifiedBy>
  <dcterms:created xsi:type="dcterms:W3CDTF">2022-04-26T21:10:43Z</dcterms:created>
  <dcterms:modified xsi:type="dcterms:W3CDTF">2022-04-27T14:13:37Z</dcterms:modified>
</cp:coreProperties>
</file>